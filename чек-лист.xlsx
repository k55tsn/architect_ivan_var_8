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Desktop\architect_ivan_var_8\"/>
    </mc:Choice>
  </mc:AlternateContent>
  <xr:revisionPtr revIDLastSave="0" documentId="13_ncr:1_{03B60FFD-A720-49FF-BE51-561AC0B33763}" xr6:coauthVersionLast="47" xr6:coauthVersionMax="47" xr10:uidLastSave="{00000000-0000-0000-0000-000000000000}"/>
  <bookViews>
    <workbookView xWindow="0" yWindow="0" windowWidth="11520" windowHeight="13800" xr2:uid="{4D2451AB-8DE5-4CF7-9623-478264A7A8F6}"/>
  </bookViews>
  <sheets>
    <sheet name="Лист2" sheetId="2" r:id="rId1"/>
    <sheet name="Лист1" sheetId="1" r:id="rId2"/>
  </sheets>
  <definedNames>
    <definedName name="ExternalData_1" localSheetId="0" hidden="1">Лист2!$A$3:$E$69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1" i="2" l="1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4" i="2"/>
  <c r="D1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FE2B06-9CF4-4E6A-A6FD-C9AB623981BA}" keepAlive="1" name="Запрос — чек-лист" description="Соединение с запросом &quot;чек-лист&quot; в книге." type="5" refreshedVersion="6" background="1" saveData="1">
    <dbPr connection="Provider=Microsoft.Mashup.OleDb.1;Data Source=$Workbook$;Location=чек-лист;Extended Properties=&quot;&quot;" command="SELECT * FROM [чек-лист]"/>
  </connection>
</connections>
</file>

<file path=xl/sharedStrings.xml><?xml version="1.0" encoding="utf-8"?>
<sst xmlns="http://schemas.openxmlformats.org/spreadsheetml/2006/main" count="200" uniqueCount="88">
  <si>
    <t>Категория</t>
  </si>
  <si>
    <t>Критерий</t>
  </si>
  <si>
    <t>Баллы (0-2)</t>
  </si>
  <si>
    <t>Column1</t>
  </si>
  <si>
    <t>Репозиторий</t>
  </si>
  <si>
    <t>Создан каталог проекта и инициализирован локальный репозиторий</t>
  </si>
  <si>
    <t>2</t>
  </si>
  <si>
    <t>Настроен gitignore (исключены временные файлы, папки сборки, настройки IDE)</t>
  </si>
  <si>
    <t>Создан readme.md с описанием проекта, ФИО автора, номером варианта</t>
  </si>
  <si>
    <t>Создан файл отчета по работе с нейросетью (prompts.md или ai-report.md) со всеми промтами</t>
  </si>
  <si>
    <t>Проект связан с удаленным репозиторием (gitflic/gitverse), преподаватель добавлен в коллеги</t>
  </si>
  <si>
    <t>История коммитов отражает поэтапную разработку (не один коммит на весь проект)</t>
  </si>
  <si>
    <t>Главное окно</t>
  </si>
  <si>
    <t>Размер окна фиксирован (ширина и высота согласно варианту)</t>
  </si>
  <si>
    <t>Заголовок окна содержит ФАМИЛИЮ студента и номер ВАРИАНТА</t>
  </si>
  <si>
    <t>Присутствует иконка приложения в заголовке окна</t>
  </si>
  <si>
    <t>Логотип сгенерирован нейросетью и размещен в заданной позиции (согласно варианту)</t>
  </si>
  <si>
    <t>Размер логотипа соответствует варианту</t>
  </si>
  <si>
    <t>1</t>
  </si>
  <si>
    <t>Цвет фона главного окна соответствует варианту</t>
  </si>
  <si>
    <t>Цвет панели вкладок и текста вкладок соответствует варианту</t>
  </si>
  <si>
    <t>Кнопки: цвет фона, цвет текста, шрифт, скругление соответствуют варианту</t>
  </si>
  <si>
    <t>Шрифт таблиц и шрифт заголовков соответствуют варианту</t>
  </si>
  <si>
    <t>Авторизация</t>
  </si>
  <si>
    <t>При запуске таблицы с данными видны, но кнопки Добавить/Сохранить/Загрузить недоступны</t>
  </si>
  <si>
    <t>Кнопка "Войти" открывает модальное окно авторизации</t>
  </si>
  <si>
    <t>При неверном логине/пароле выводится сообщение "Неправильный логин/пароль"</t>
  </si>
  <si>
    <t>После успешной авторизации Фамилия Имя отображаются в строке состояния</t>
  </si>
  <si>
    <t>После успешной авторизации кнопки Добавить/Сохранить/Загрузить становятся доступны</t>
  </si>
  <si>
    <t>Справочник 1</t>
  </si>
  <si>
    <t>Таблица с колонками согласно варианту</t>
  </si>
  <si>
    <t>Контекстное меню: Редактировать, Удалить, Дублировать</t>
  </si>
  <si>
    <t>Добавление через кнопку "Добавить" и модальное окно</t>
  </si>
  <si>
    <t>Редактирование через модальное окно (данные подгружаются в поля)</t>
  </si>
  <si>
    <t>Удаление работает (с подтверждением или без)</t>
  </si>
  <si>
    <t>Дублирование создает копию строки с очищенным ID</t>
  </si>
  <si>
    <t>Справочник 2</t>
  </si>
  <si>
    <t>Выпадающий список для категории (значения из варианта) работает</t>
  </si>
  <si>
    <t>Добавление/редактирование через модальное окно</t>
  </si>
  <si>
    <t>Сводная сущность</t>
  </si>
  <si>
    <t>Вкладка сводной сущности активна по умолчанию при запуске</t>
  </si>
  <si>
    <t>Выбор из Справочника 1 через выпадающий список</t>
  </si>
  <si>
    <t>Выбор из Справочника 2 через выпадающий список</t>
  </si>
  <si>
    <t>Выпадающий список статуса (значения из варианта) работает</t>
  </si>
  <si>
    <t>Поле с автоматическим расчётом (Итого/Сумма/Стоимость) только для чтения</t>
  </si>
  <si>
    <t>Модальное окно сводной</t>
  </si>
  <si>
    <t>Выпадающий список выбора из Справочника 1</t>
  </si>
  <si>
    <t>Выпадающий список выбора из Справочника 2</t>
  </si>
  <si>
    <t>Поле выбора даты (календарь или текстовое поле с маской)</t>
  </si>
  <si>
    <t>Выпадающий список статуса</t>
  </si>
  <si>
    <t>Поле с автоматическим расчётом — только для чтения</t>
  </si>
  <si>
    <t>Кнопки "Сохранить" и "Отмена" работают корректно</t>
  </si>
  <si>
    <t>CSV</t>
  </si>
  <si>
    <t>Сохранение через "Файл → Сохранить как" (диалог выбора пути)</t>
  </si>
  <si>
    <t>Загрузка через "Файл → Открыть" (диалог выбора файла)</t>
  </si>
  <si>
    <t>Формат CSV соответствует варианту (правильные колонки и разделитель "</t>
  </si>
  <si>
    <t>Алгебра</t>
  </si>
  <si>
    <t>Отклонение пересчитывается при любом изменении данных (добавление/удаление/редактирование)</t>
  </si>
  <si>
    <t>Валидация 1</t>
  </si>
  <si>
    <t>Правило валидации 1 из варианта реализовано (ошибка при нарушении)</t>
  </si>
  <si>
    <t>Валидация 2</t>
  </si>
  <si>
    <t>Правило валидации 2 из варианта реализовано (ошибка при нарушении)</t>
  </si>
  <si>
    <t>Валидация 3</t>
  </si>
  <si>
    <t>Правило валидации 3 из варианта реализовано (ошибка при нарушении)</t>
  </si>
  <si>
    <t>Валидация</t>
  </si>
  <si>
    <t>Сообщения об ошибках валидации понятны пользователю</t>
  </si>
  <si>
    <t>ООП</t>
  </si>
  <si>
    <t>Сущности (не менее 3 классов: два справочника + сводная) реализованы как отдельные классы</t>
  </si>
  <si>
    <t>Логика работы с данными вынесена в отдельные классы-репозитории (не в коде окна)</t>
  </si>
  <si>
    <t>Классы имеют конструкторы, свойства/геттеры-сеттеры, методы</t>
  </si>
  <si>
    <t>Общее</t>
  </si>
  <si>
    <t>Приложение запускается без ошибок</t>
  </si>
  <si>
    <t>Интерфейс соответствует описанию варианта</t>
  </si>
  <si>
    <t>Базы данных не используются</t>
  </si>
  <si>
    <t>Модальные окна блокируют основное окно до закрытия</t>
  </si>
  <si>
    <t>Вкладки переключаются корректно, данные не теряются</t>
  </si>
  <si>
    <t>Бонус</t>
  </si>
  <si>
    <t>Сортировка по колонкам таблиц (клик по заголовку)</t>
  </si>
  <si>
    <t>Строка состояния показывает дополнительную информацию (количество записей, дату)</t>
  </si>
  <si>
    <t>Код чистый, с комментариями, соблюдены правила именования</t>
  </si>
  <si>
    <t>Сохраняется/загружается ТОЛЬКО сводная сущность; справочники — только в памяти сессии</t>
  </si>
  <si>
    <t>Расчётная формула из варианта реализована корректно</t>
  </si>
  <si>
    <t>Колонка Отклонение от среднего" присутствует и вычислена верно</t>
  </si>
  <si>
    <t>Файл users.txt существует, формат строк login, password, Фамилия Имя, кодировка UTF-8</t>
  </si>
  <si>
    <t>Выполнение (1 или 0) ЗАПОЛНЯЕМ</t>
  </si>
  <si>
    <t>ИТОГО: (максимально 110,  наберите не менее 100)</t>
  </si>
  <si>
    <t>Ваша Фамилия и вариант:</t>
  </si>
  <si>
    <t>Ложкин Иван, 3-1Ис, 8 вариант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</si>
</sst>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3" borderId="1" xfId="0" applyFill="1" applyBorder="1" applyAlignment="1">
      <alignment horizontal="right" wrapText="1"/>
    </xf>
    <xf numFmtId="0" fontId="0" fillId="3" borderId="2" xfId="0" applyFill="1" applyBorder="1"/>
    <xf numFmtId="0" fontId="1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2" fillId="4" borderId="0" xfId="0" applyFont="1" applyFill="1" applyAlignment="1">
      <alignment horizontal="right" wrapText="1"/>
    </xf>
  </cellXfs>
  <cellStyles count="1">
    <cellStyle name="Обычный" xfId="0" builtinId="0"/>
  </cellStyles>
  <dxfs count="4">
    <dxf>
      <numFmt numFmtId="0" formatCode="General"/>
    </dxf>
    <dxf>
      <numFmt numFmtId="2" formatCode="0.00"/>
      <alignment horizontal="center" vertical="bottom" textRotation="0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7420CB-0016-4D9B-8693-E6436D520C77}" autoFormatId="16" applyNumberFormats="0" applyBorderFormats="0" applyFontFormats="0" applyPatternFormats="0" applyAlignmentFormats="0" applyWidthHeightFormats="0">
  <queryTableRefresh nextId="7">
    <queryTableFields count="5">
      <queryTableField id="1" name="Категория" tableColumnId="1"/>
      <queryTableField id="2" name="Критерий" tableColumnId="2"/>
      <queryTableField id="3" name="Баллы (0-2)" tableColumnId="3"/>
      <queryTableField id="4" name="Комментарий" tableColumnId="4"/>
      <queryTableField id="5" name="Column1" tableColumnId="5"/>
    </queryTableFields>
    <queryTableDeletedFields count="1">
      <deletedField name="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DCACA6-227C-4A14-BBCB-82326704E261}" name="чек_лист" displayName="чек_лист" ref="A3:E69" tableType="queryTable" totalsRowShown="0">
  <autoFilter ref="A3:E69" xr:uid="{812BBB60-2E3C-4B26-8F06-B06F6567D51E}"/>
  <tableColumns count="5">
    <tableColumn id="1" xr3:uid="{83BE331C-3C19-4D74-A550-EC3294CC8F3F}" uniqueName="1" name="Категория" queryTableFieldId="1" dataDxfId="3"/>
    <tableColumn id="2" xr3:uid="{C3EAACC4-30A0-423B-9810-6E2385CCDDE9}" uniqueName="2" name="Критерий" queryTableFieldId="2" dataDxfId="2"/>
    <tableColumn id="3" xr3:uid="{820325FC-1ABB-4D8D-B619-5CF3EFA9D217}" uniqueName="3" name="Баллы (0-2)" queryTableFieldId="3" dataDxfId="1"/>
    <tableColumn id="4" xr3:uid="{4DB78E66-E405-4CD4-8A21-A45D8C3B1A1F}" uniqueName="4" name="Выполнение (1 или 0) ЗАПОЛНЯЕМ" queryTableFieldId="4" dataDxfId="0"/>
    <tableColumn id="5" xr3:uid="{B33424AA-4FE0-42C3-8A70-89E3BCA9E1B8}" uniqueName="5" name="Column1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F763-96BE-4D72-A761-49FD90F8CA23}">
  <dimension ref="A1:E69"/>
  <sheetViews>
    <sheetView tabSelected="1" workbookViewId="0">
      <pane ySplit="1" topLeftCell="A59" activePane="bottomLeft" state="frozen"/>
      <selection pane="bottomLeft" activeCell="D41" sqref="D41"/>
    </sheetView>
  </sheetViews>
  <sheetFormatPr defaultRowHeight="14.4" x14ac:dyDescent="0.3"/>
  <cols>
    <col min="1" max="1" width="17.44140625" customWidth="1"/>
    <col min="2" max="2" width="47.88671875" style="6" customWidth="1"/>
    <col min="3" max="3" width="7.109375" customWidth="1"/>
    <col min="4" max="4" width="30.44140625" bestFit="1" customWidth="1"/>
    <col min="5" max="5" width="11.109375" bestFit="1" customWidth="1"/>
  </cols>
  <sheetData>
    <row r="1" spans="1:5" ht="33" thickBot="1" x14ac:dyDescent="0.45">
      <c r="A1" s="11" t="s">
        <v>86</v>
      </c>
      <c r="B1" s="10" t="s">
        <v>87</v>
      </c>
      <c r="D1" s="9">
        <f>SUM(чек_лист[Column1])</f>
        <v>97</v>
      </c>
    </row>
    <row r="2" spans="1:5" ht="20.25" customHeight="1" thickBot="1" x14ac:dyDescent="0.35">
      <c r="B2" s="7" t="s">
        <v>85</v>
      </c>
      <c r="C2" s="8"/>
    </row>
    <row r="3" spans="1:5" ht="28.8" x14ac:dyDescent="0.3">
      <c r="A3" t="s">
        <v>0</v>
      </c>
      <c r="B3" s="6" t="s">
        <v>1</v>
      </c>
      <c r="C3" t="s">
        <v>2</v>
      </c>
      <c r="D3" s="5" t="s">
        <v>84</v>
      </c>
      <c r="E3" t="s">
        <v>3</v>
      </c>
    </row>
    <row r="4" spans="1:5" ht="28.8" x14ac:dyDescent="0.3">
      <c r="A4" s="1" t="s">
        <v>4</v>
      </c>
      <c r="B4" s="2" t="s">
        <v>5</v>
      </c>
      <c r="C4" s="3" t="s">
        <v>6</v>
      </c>
      <c r="D4" s="1">
        <v>1</v>
      </c>
      <c r="E4">
        <f>чек_лист[[#This Row],[Выполнение (1 или 0) ЗАПОЛНЯЕМ]]*чек_лист[[#This Row],[Баллы (0-2)]]</f>
        <v>2</v>
      </c>
    </row>
    <row r="5" spans="1:5" ht="28.8" x14ac:dyDescent="0.3">
      <c r="A5" s="1" t="s">
        <v>4</v>
      </c>
      <c r="B5" s="2" t="s">
        <v>7</v>
      </c>
      <c r="C5" s="3" t="s">
        <v>6</v>
      </c>
      <c r="D5" s="1">
        <v>1</v>
      </c>
      <c r="E5">
        <f>чек_лист[[#This Row],[Выполнение (1 или 0) ЗАПОЛНЯЕМ]]*чек_лист[[#This Row],[Баллы (0-2)]]</f>
        <v>2</v>
      </c>
    </row>
    <row r="6" spans="1:5" ht="28.8" x14ac:dyDescent="0.3">
      <c r="A6" s="1" t="s">
        <v>4</v>
      </c>
      <c r="B6" s="2" t="s">
        <v>8</v>
      </c>
      <c r="C6" s="3" t="s">
        <v>6</v>
      </c>
      <c r="D6" s="1">
        <v>1</v>
      </c>
      <c r="E6">
        <f>чек_лист[[#This Row],[Выполнение (1 или 0) ЗАПОЛНЯЕМ]]*чек_лист[[#This Row],[Баллы (0-2)]]</f>
        <v>2</v>
      </c>
    </row>
    <row r="7" spans="1:5" ht="28.8" x14ac:dyDescent="0.3">
      <c r="A7" s="1" t="s">
        <v>4</v>
      </c>
      <c r="B7" s="2" t="s">
        <v>9</v>
      </c>
      <c r="C7" s="3" t="s">
        <v>6</v>
      </c>
      <c r="D7" s="1">
        <v>1</v>
      </c>
      <c r="E7">
        <f>чек_лист[[#This Row],[Выполнение (1 или 0) ЗАПОЛНЯЕМ]]*чек_лист[[#This Row],[Баллы (0-2)]]</f>
        <v>2</v>
      </c>
    </row>
    <row r="8" spans="1:5" ht="28.8" x14ac:dyDescent="0.3">
      <c r="A8" s="1" t="s">
        <v>4</v>
      </c>
      <c r="B8" s="2" t="s">
        <v>10</v>
      </c>
      <c r="C8" s="3" t="s">
        <v>6</v>
      </c>
      <c r="D8" s="1">
        <v>1</v>
      </c>
      <c r="E8">
        <f>чек_лист[[#This Row],[Выполнение (1 или 0) ЗАПОЛНЯЕМ]]*чек_лист[[#This Row],[Баллы (0-2)]]</f>
        <v>2</v>
      </c>
    </row>
    <row r="9" spans="1:5" ht="28.8" x14ac:dyDescent="0.3">
      <c r="A9" s="1" t="s">
        <v>4</v>
      </c>
      <c r="B9" s="2" t="s">
        <v>11</v>
      </c>
      <c r="C9" s="3" t="s">
        <v>6</v>
      </c>
      <c r="D9" s="1">
        <v>1</v>
      </c>
      <c r="E9">
        <f>чек_лист[[#This Row],[Выполнение (1 или 0) ЗАПОЛНЯЕМ]]*чек_лист[[#This Row],[Баллы (0-2)]]</f>
        <v>2</v>
      </c>
    </row>
    <row r="10" spans="1:5" ht="28.8" x14ac:dyDescent="0.3">
      <c r="A10" s="1" t="s">
        <v>12</v>
      </c>
      <c r="B10" s="2" t="s">
        <v>13</v>
      </c>
      <c r="C10" s="3" t="s">
        <v>6</v>
      </c>
      <c r="D10" s="1">
        <v>1</v>
      </c>
      <c r="E10">
        <f>чек_лист[[#This Row],[Выполнение (1 или 0) ЗАПОЛНЯЕМ]]*чек_лист[[#This Row],[Баллы (0-2)]]</f>
        <v>2</v>
      </c>
    </row>
    <row r="11" spans="1:5" ht="28.8" x14ac:dyDescent="0.3">
      <c r="A11" s="1" t="s">
        <v>12</v>
      </c>
      <c r="B11" s="2" t="s">
        <v>14</v>
      </c>
      <c r="C11" s="3" t="s">
        <v>6</v>
      </c>
      <c r="D11" s="1">
        <v>1</v>
      </c>
      <c r="E11">
        <f>чек_лист[[#This Row],[Выполнение (1 или 0) ЗАПОЛНЯЕМ]]*чек_лист[[#This Row],[Баллы (0-2)]]</f>
        <v>2</v>
      </c>
    </row>
    <row r="12" spans="1:5" x14ac:dyDescent="0.3">
      <c r="A12" s="1" t="s">
        <v>12</v>
      </c>
      <c r="B12" s="2" t="s">
        <v>15</v>
      </c>
      <c r="C12" s="3" t="s">
        <v>6</v>
      </c>
      <c r="D12" s="1">
        <v>1</v>
      </c>
      <c r="E12">
        <f>чек_лист[[#This Row],[Выполнение (1 или 0) ЗАПОЛНЯЕМ]]*чек_лист[[#This Row],[Баллы (0-2)]]</f>
        <v>2</v>
      </c>
    </row>
    <row r="13" spans="1:5" ht="28.8" x14ac:dyDescent="0.3">
      <c r="A13" s="1" t="s">
        <v>12</v>
      </c>
      <c r="B13" s="2" t="s">
        <v>16</v>
      </c>
      <c r="C13" s="3" t="s">
        <v>6</v>
      </c>
      <c r="D13" s="1">
        <v>0</v>
      </c>
      <c r="E13">
        <f>чек_лист[[#This Row],[Выполнение (1 или 0) ЗАПОЛНЯЕМ]]*чек_лист[[#This Row],[Баллы (0-2)]]</f>
        <v>0</v>
      </c>
    </row>
    <row r="14" spans="1:5" x14ac:dyDescent="0.3">
      <c r="A14" s="1" t="s">
        <v>12</v>
      </c>
      <c r="B14" s="2" t="s">
        <v>17</v>
      </c>
      <c r="C14" s="3" t="s">
        <v>18</v>
      </c>
      <c r="D14" s="1">
        <v>0</v>
      </c>
      <c r="E14">
        <f>чек_лист[[#This Row],[Выполнение (1 или 0) ЗАПОЛНЯЕМ]]*чек_лист[[#This Row],[Баллы (0-2)]]</f>
        <v>0</v>
      </c>
    </row>
    <row r="15" spans="1:5" x14ac:dyDescent="0.3">
      <c r="A15" s="1" t="s">
        <v>12</v>
      </c>
      <c r="B15" s="2" t="s">
        <v>19</v>
      </c>
      <c r="C15" s="3" t="s">
        <v>18</v>
      </c>
      <c r="D15" s="1">
        <v>1</v>
      </c>
      <c r="E15">
        <f>чек_лист[[#This Row],[Выполнение (1 или 0) ЗАПОЛНЯЕМ]]*чек_лист[[#This Row],[Баллы (0-2)]]</f>
        <v>1</v>
      </c>
    </row>
    <row r="16" spans="1:5" ht="28.8" x14ac:dyDescent="0.3">
      <c r="A16" s="1" t="s">
        <v>12</v>
      </c>
      <c r="B16" s="2" t="s">
        <v>20</v>
      </c>
      <c r="C16" s="3" t="s">
        <v>18</v>
      </c>
      <c r="D16" s="1">
        <v>1</v>
      </c>
      <c r="E16">
        <f>чек_лист[[#This Row],[Выполнение (1 или 0) ЗАПОЛНЯЕМ]]*чек_лист[[#This Row],[Баллы (0-2)]]</f>
        <v>1</v>
      </c>
    </row>
    <row r="17" spans="1:5" ht="28.8" x14ac:dyDescent="0.3">
      <c r="A17" s="1" t="s">
        <v>12</v>
      </c>
      <c r="B17" s="2" t="s">
        <v>21</v>
      </c>
      <c r="C17" s="3" t="s">
        <v>18</v>
      </c>
      <c r="D17" s="1">
        <v>1</v>
      </c>
      <c r="E17">
        <f>чек_лист[[#This Row],[Выполнение (1 или 0) ЗАПОЛНЯЕМ]]*чек_лист[[#This Row],[Баллы (0-2)]]</f>
        <v>1</v>
      </c>
    </row>
    <row r="18" spans="1:5" ht="28.8" x14ac:dyDescent="0.3">
      <c r="A18" s="1" t="s">
        <v>12</v>
      </c>
      <c r="B18" s="2" t="s">
        <v>22</v>
      </c>
      <c r="C18" s="3" t="s">
        <v>18</v>
      </c>
      <c r="D18" s="1">
        <v>1</v>
      </c>
      <c r="E18">
        <f>чек_лист[[#This Row],[Выполнение (1 или 0) ЗАПОЛНЯЕМ]]*чек_лист[[#This Row],[Баллы (0-2)]]</f>
        <v>1</v>
      </c>
    </row>
    <row r="19" spans="1:5" ht="28.8" x14ac:dyDescent="0.3">
      <c r="A19" s="1" t="s">
        <v>23</v>
      </c>
      <c r="B19" s="2" t="s">
        <v>24</v>
      </c>
      <c r="C19" s="3" t="s">
        <v>6</v>
      </c>
      <c r="D19" s="1">
        <v>1</v>
      </c>
      <c r="E19">
        <f>чек_лист[[#This Row],[Выполнение (1 или 0) ЗАПОЛНЯЕМ]]*чек_лист[[#This Row],[Баллы (0-2)]]</f>
        <v>2</v>
      </c>
    </row>
    <row r="20" spans="1:5" ht="28.8" x14ac:dyDescent="0.3">
      <c r="A20" s="1" t="s">
        <v>23</v>
      </c>
      <c r="B20" s="2" t="s">
        <v>25</v>
      </c>
      <c r="C20" s="3" t="s">
        <v>6</v>
      </c>
      <c r="D20" s="1">
        <v>1</v>
      </c>
      <c r="E20">
        <f>чек_лист[[#This Row],[Выполнение (1 или 0) ЗАПОЛНЯЕМ]]*чек_лист[[#This Row],[Баллы (0-2)]]</f>
        <v>2</v>
      </c>
    </row>
    <row r="21" spans="1:5" ht="28.8" x14ac:dyDescent="0.3">
      <c r="A21" s="1" t="s">
        <v>23</v>
      </c>
      <c r="B21" s="2" t="s">
        <v>83</v>
      </c>
      <c r="C21" s="3">
        <v>1</v>
      </c>
      <c r="D21" s="1">
        <v>1</v>
      </c>
      <c r="E21">
        <f>чек_лист[[#This Row],[Выполнение (1 или 0) ЗАПОЛНЯЕМ]]*чек_лист[[#This Row],[Баллы (0-2)]]</f>
        <v>1</v>
      </c>
    </row>
    <row r="22" spans="1:5" ht="28.8" x14ac:dyDescent="0.3">
      <c r="A22" s="1" t="s">
        <v>23</v>
      </c>
      <c r="B22" s="2" t="s">
        <v>26</v>
      </c>
      <c r="C22" s="3" t="s">
        <v>6</v>
      </c>
      <c r="D22" s="1">
        <v>1</v>
      </c>
      <c r="E22">
        <f>чек_лист[[#This Row],[Выполнение (1 или 0) ЗАПОЛНЯЕМ]]*чек_лист[[#This Row],[Баллы (0-2)]]</f>
        <v>2</v>
      </c>
    </row>
    <row r="23" spans="1:5" ht="28.8" x14ac:dyDescent="0.3">
      <c r="A23" s="1" t="s">
        <v>23</v>
      </c>
      <c r="B23" s="2" t="s">
        <v>27</v>
      </c>
      <c r="C23" s="3" t="s">
        <v>6</v>
      </c>
      <c r="D23" s="1">
        <v>1</v>
      </c>
      <c r="E23">
        <f>чек_лист[[#This Row],[Выполнение (1 или 0) ЗАПОЛНЯЕМ]]*чек_лист[[#This Row],[Баллы (0-2)]]</f>
        <v>2</v>
      </c>
    </row>
    <row r="24" spans="1:5" ht="28.8" x14ac:dyDescent="0.3">
      <c r="A24" s="1" t="s">
        <v>23</v>
      </c>
      <c r="B24" s="2" t="s">
        <v>28</v>
      </c>
      <c r="C24" s="3" t="s">
        <v>6</v>
      </c>
      <c r="D24" s="1">
        <v>1</v>
      </c>
      <c r="E24">
        <f>чек_лист[[#This Row],[Выполнение (1 или 0) ЗАПОЛНЯЕМ]]*чек_лист[[#This Row],[Баллы (0-2)]]</f>
        <v>2</v>
      </c>
    </row>
    <row r="25" spans="1:5" x14ac:dyDescent="0.3">
      <c r="A25" s="1" t="s">
        <v>29</v>
      </c>
      <c r="B25" s="2" t="s">
        <v>30</v>
      </c>
      <c r="C25" s="3" t="s">
        <v>6</v>
      </c>
      <c r="D25" s="1">
        <v>1</v>
      </c>
      <c r="E25">
        <f>чек_лист[[#This Row],[Выполнение (1 или 0) ЗАПОЛНЯЕМ]]*чек_лист[[#This Row],[Баллы (0-2)]]</f>
        <v>2</v>
      </c>
    </row>
    <row r="26" spans="1:5" ht="28.8" x14ac:dyDescent="0.3">
      <c r="A26" s="1" t="s">
        <v>29</v>
      </c>
      <c r="B26" s="2" t="s">
        <v>31</v>
      </c>
      <c r="C26" s="3" t="s">
        <v>6</v>
      </c>
      <c r="D26" s="1">
        <v>1</v>
      </c>
      <c r="E26">
        <f>чек_лист[[#This Row],[Выполнение (1 или 0) ЗАПОЛНЯЕМ]]*чек_лист[[#This Row],[Баллы (0-2)]]</f>
        <v>2</v>
      </c>
    </row>
    <row r="27" spans="1:5" ht="28.8" x14ac:dyDescent="0.3">
      <c r="A27" s="1" t="s">
        <v>29</v>
      </c>
      <c r="B27" s="2" t="s">
        <v>32</v>
      </c>
      <c r="C27" s="3" t="s">
        <v>6</v>
      </c>
      <c r="D27" s="1">
        <v>1</v>
      </c>
      <c r="E27">
        <f>чек_лист[[#This Row],[Выполнение (1 или 0) ЗАПОЛНЯЕМ]]*чек_лист[[#This Row],[Баллы (0-2)]]</f>
        <v>2</v>
      </c>
    </row>
    <row r="28" spans="1:5" ht="28.8" x14ac:dyDescent="0.3">
      <c r="A28" s="1" t="s">
        <v>29</v>
      </c>
      <c r="B28" s="2" t="s">
        <v>33</v>
      </c>
      <c r="C28" s="3" t="s">
        <v>6</v>
      </c>
      <c r="D28" s="1">
        <v>1</v>
      </c>
      <c r="E28">
        <f>чек_лист[[#This Row],[Выполнение (1 или 0) ЗАПОЛНЯЕМ]]*чек_лист[[#This Row],[Баллы (0-2)]]</f>
        <v>2</v>
      </c>
    </row>
    <row r="29" spans="1:5" x14ac:dyDescent="0.3">
      <c r="A29" s="1" t="s">
        <v>29</v>
      </c>
      <c r="B29" s="2" t="s">
        <v>34</v>
      </c>
      <c r="C29" s="3" t="s">
        <v>18</v>
      </c>
      <c r="D29" s="1">
        <v>1</v>
      </c>
      <c r="E29">
        <f>чек_лист[[#This Row],[Выполнение (1 или 0) ЗАПОЛНЯЕМ]]*чек_лист[[#This Row],[Баллы (0-2)]]</f>
        <v>1</v>
      </c>
    </row>
    <row r="30" spans="1:5" ht="28.8" x14ac:dyDescent="0.3">
      <c r="A30" s="1" t="s">
        <v>29</v>
      </c>
      <c r="B30" s="2" t="s">
        <v>35</v>
      </c>
      <c r="C30" s="3" t="s">
        <v>18</v>
      </c>
      <c r="D30" s="1">
        <v>1</v>
      </c>
      <c r="E30">
        <f>чек_лист[[#This Row],[Выполнение (1 или 0) ЗАПОЛНЯЕМ]]*чек_лист[[#This Row],[Баллы (0-2)]]</f>
        <v>1</v>
      </c>
    </row>
    <row r="31" spans="1:5" x14ac:dyDescent="0.3">
      <c r="A31" s="1" t="s">
        <v>36</v>
      </c>
      <c r="B31" s="2" t="s">
        <v>30</v>
      </c>
      <c r="C31" s="3" t="s">
        <v>6</v>
      </c>
      <c r="D31" s="1">
        <v>1</v>
      </c>
      <c r="E31">
        <f>чек_лист[[#This Row],[Выполнение (1 или 0) ЗАПОЛНЯЕМ]]*чек_лист[[#This Row],[Баллы (0-2)]]</f>
        <v>2</v>
      </c>
    </row>
    <row r="32" spans="1:5" ht="28.8" x14ac:dyDescent="0.3">
      <c r="A32" s="1" t="s">
        <v>36</v>
      </c>
      <c r="B32" s="2" t="s">
        <v>37</v>
      </c>
      <c r="C32" s="3" t="s">
        <v>6</v>
      </c>
      <c r="D32" s="1">
        <v>1</v>
      </c>
      <c r="E32">
        <f>чек_лист[[#This Row],[Выполнение (1 или 0) ЗАПОЛНЯЕМ]]*чек_лист[[#This Row],[Баллы (0-2)]]</f>
        <v>2</v>
      </c>
    </row>
    <row r="33" spans="1:5" ht="28.8" x14ac:dyDescent="0.3">
      <c r="A33" s="1" t="s">
        <v>36</v>
      </c>
      <c r="B33" s="2" t="s">
        <v>31</v>
      </c>
      <c r="C33" s="3" t="s">
        <v>6</v>
      </c>
      <c r="D33" s="1">
        <v>1</v>
      </c>
      <c r="E33">
        <f>чек_лист[[#This Row],[Выполнение (1 или 0) ЗАПОЛНЯЕМ]]*чек_лист[[#This Row],[Баллы (0-2)]]</f>
        <v>2</v>
      </c>
    </row>
    <row r="34" spans="1:5" x14ac:dyDescent="0.3">
      <c r="A34" s="1" t="s">
        <v>36</v>
      </c>
      <c r="B34" s="2" t="s">
        <v>38</v>
      </c>
      <c r="C34" s="3" t="s">
        <v>6</v>
      </c>
      <c r="D34" s="1">
        <v>1</v>
      </c>
      <c r="E34">
        <f>чек_лист[[#This Row],[Выполнение (1 или 0) ЗАПОЛНЯЕМ]]*чек_лист[[#This Row],[Баллы (0-2)]]</f>
        <v>2</v>
      </c>
    </row>
    <row r="35" spans="1:5" ht="28.8" x14ac:dyDescent="0.3">
      <c r="A35" s="1" t="s">
        <v>39</v>
      </c>
      <c r="B35" s="2" t="s">
        <v>40</v>
      </c>
      <c r="C35" s="3" t="s">
        <v>6</v>
      </c>
      <c r="D35" s="1">
        <v>1</v>
      </c>
      <c r="E35">
        <f>чек_лист[[#This Row],[Выполнение (1 или 0) ЗАПОЛНЯЕМ]]*чек_лист[[#This Row],[Баллы (0-2)]]</f>
        <v>2</v>
      </c>
    </row>
    <row r="36" spans="1:5" x14ac:dyDescent="0.3">
      <c r="A36" s="1" t="s">
        <v>39</v>
      </c>
      <c r="B36" s="2" t="s">
        <v>30</v>
      </c>
      <c r="C36" s="3" t="s">
        <v>6</v>
      </c>
      <c r="D36" s="1">
        <v>1</v>
      </c>
      <c r="E36">
        <f>чек_лист[[#This Row],[Выполнение (1 или 0) ЗАПОЛНЯЕМ]]*чек_лист[[#This Row],[Баллы (0-2)]]</f>
        <v>2</v>
      </c>
    </row>
    <row r="37" spans="1:5" x14ac:dyDescent="0.3">
      <c r="A37" s="1" t="s">
        <v>39</v>
      </c>
      <c r="B37" s="2" t="s">
        <v>41</v>
      </c>
      <c r="C37" s="3" t="s">
        <v>6</v>
      </c>
      <c r="D37" s="1">
        <v>0</v>
      </c>
      <c r="E37">
        <f>чек_лист[[#This Row],[Выполнение (1 или 0) ЗАПОЛНЯЕМ]]*чек_лист[[#This Row],[Баллы (0-2)]]</f>
        <v>0</v>
      </c>
    </row>
    <row r="38" spans="1:5" x14ac:dyDescent="0.3">
      <c r="A38" s="1" t="s">
        <v>39</v>
      </c>
      <c r="B38" s="2" t="s">
        <v>42</v>
      </c>
      <c r="C38" s="3" t="s">
        <v>6</v>
      </c>
      <c r="D38" s="1">
        <v>0</v>
      </c>
      <c r="E38">
        <f>чек_лист[[#This Row],[Выполнение (1 или 0) ЗАПОЛНЯЕМ]]*чек_лист[[#This Row],[Баллы (0-2)]]</f>
        <v>0</v>
      </c>
    </row>
    <row r="39" spans="1:5" ht="28.8" x14ac:dyDescent="0.3">
      <c r="A39" s="1" t="s">
        <v>39</v>
      </c>
      <c r="B39" s="2" t="s">
        <v>43</v>
      </c>
      <c r="C39" s="3" t="s">
        <v>6</v>
      </c>
      <c r="D39" s="1">
        <v>0</v>
      </c>
      <c r="E39">
        <f>чек_лист[[#This Row],[Выполнение (1 или 0) ЗАПОЛНЯЕМ]]*чек_лист[[#This Row],[Баллы (0-2)]]</f>
        <v>0</v>
      </c>
    </row>
    <row r="40" spans="1:5" ht="28.8" x14ac:dyDescent="0.3">
      <c r="A40" s="1" t="s">
        <v>39</v>
      </c>
      <c r="B40" s="2" t="s">
        <v>31</v>
      </c>
      <c r="C40" s="3" t="s">
        <v>6</v>
      </c>
      <c r="D40" s="1">
        <v>1</v>
      </c>
      <c r="E40">
        <f>чек_лист[[#This Row],[Выполнение (1 или 0) ЗАПОЛНЯЕМ]]*чек_лист[[#This Row],[Баллы (0-2)]]</f>
        <v>2</v>
      </c>
    </row>
    <row r="41" spans="1:5" ht="28.8" x14ac:dyDescent="0.3">
      <c r="A41" s="1" t="s">
        <v>39</v>
      </c>
      <c r="B41" s="2" t="s">
        <v>44</v>
      </c>
      <c r="C41" s="3" t="s">
        <v>6</v>
      </c>
      <c r="D41" s="1">
        <v>1</v>
      </c>
      <c r="E41">
        <f>чек_лист[[#This Row],[Выполнение (1 или 0) ЗАПОЛНЯЕМ]]*чек_лист[[#This Row],[Баллы (0-2)]]</f>
        <v>2</v>
      </c>
    </row>
    <row r="42" spans="1:5" x14ac:dyDescent="0.3">
      <c r="A42" s="1" t="s">
        <v>45</v>
      </c>
      <c r="B42" s="2" t="s">
        <v>46</v>
      </c>
      <c r="C42" s="3" t="s">
        <v>18</v>
      </c>
      <c r="D42" s="1">
        <v>1</v>
      </c>
      <c r="E42">
        <f>чек_лист[[#This Row],[Выполнение (1 или 0) ЗАПОЛНЯЕМ]]*чек_лист[[#This Row],[Баллы (0-2)]]</f>
        <v>1</v>
      </c>
    </row>
    <row r="43" spans="1:5" x14ac:dyDescent="0.3">
      <c r="A43" s="1" t="s">
        <v>45</v>
      </c>
      <c r="B43" s="2" t="s">
        <v>47</v>
      </c>
      <c r="C43" s="3" t="s">
        <v>18</v>
      </c>
      <c r="D43" s="1">
        <v>1</v>
      </c>
      <c r="E43">
        <f>чек_лист[[#This Row],[Выполнение (1 или 0) ЗАПОЛНЯЕМ]]*чек_лист[[#This Row],[Баллы (0-2)]]</f>
        <v>1</v>
      </c>
    </row>
    <row r="44" spans="1:5" ht="28.8" x14ac:dyDescent="0.3">
      <c r="A44" s="1" t="s">
        <v>45</v>
      </c>
      <c r="B44" s="2" t="s">
        <v>48</v>
      </c>
      <c r="C44" s="3" t="s">
        <v>18</v>
      </c>
      <c r="D44" s="1">
        <v>1</v>
      </c>
      <c r="E44">
        <f>чек_лист[[#This Row],[Выполнение (1 или 0) ЗАПОЛНЯЕМ]]*чек_лист[[#This Row],[Баллы (0-2)]]</f>
        <v>1</v>
      </c>
    </row>
    <row r="45" spans="1:5" x14ac:dyDescent="0.3">
      <c r="A45" s="1" t="s">
        <v>45</v>
      </c>
      <c r="B45" s="2" t="s">
        <v>49</v>
      </c>
      <c r="C45" s="3" t="s">
        <v>18</v>
      </c>
      <c r="D45" s="1">
        <v>1</v>
      </c>
      <c r="E45">
        <f>чек_лист[[#This Row],[Выполнение (1 или 0) ЗАПОЛНЯЕМ]]*чек_лист[[#This Row],[Баллы (0-2)]]</f>
        <v>1</v>
      </c>
    </row>
    <row r="46" spans="1:5" ht="28.8" x14ac:dyDescent="0.3">
      <c r="A46" s="1" t="s">
        <v>45</v>
      </c>
      <c r="B46" s="2" t="s">
        <v>50</v>
      </c>
      <c r="C46" s="3" t="s">
        <v>18</v>
      </c>
      <c r="D46" s="1">
        <v>1</v>
      </c>
      <c r="E46">
        <f>чек_лист[[#This Row],[Выполнение (1 или 0) ЗАПОЛНЯЕМ]]*чек_лист[[#This Row],[Баллы (0-2)]]</f>
        <v>1</v>
      </c>
    </row>
    <row r="47" spans="1:5" x14ac:dyDescent="0.3">
      <c r="A47" s="1" t="s">
        <v>45</v>
      </c>
      <c r="B47" s="2" t="s">
        <v>51</v>
      </c>
      <c r="C47" s="3" t="s">
        <v>18</v>
      </c>
      <c r="D47" s="1">
        <v>1</v>
      </c>
      <c r="E47">
        <f>чек_лист[[#This Row],[Выполнение (1 или 0) ЗАПОЛНЯЕМ]]*чек_лист[[#This Row],[Баллы (0-2)]]</f>
        <v>1</v>
      </c>
    </row>
    <row r="48" spans="1:5" ht="28.8" x14ac:dyDescent="0.3">
      <c r="A48" s="1" t="s">
        <v>52</v>
      </c>
      <c r="B48" s="2" t="s">
        <v>53</v>
      </c>
      <c r="C48" s="3" t="s">
        <v>6</v>
      </c>
      <c r="D48" s="1">
        <v>1</v>
      </c>
      <c r="E48">
        <f>чек_лист[[#This Row],[Выполнение (1 или 0) ЗАПОЛНЯЕМ]]*чек_лист[[#This Row],[Баллы (0-2)]]</f>
        <v>2</v>
      </c>
    </row>
    <row r="49" spans="1:5" ht="28.8" x14ac:dyDescent="0.3">
      <c r="A49" s="1" t="s">
        <v>52</v>
      </c>
      <c r="B49" s="2" t="s">
        <v>54</v>
      </c>
      <c r="C49" s="3" t="s">
        <v>6</v>
      </c>
      <c r="D49" s="1">
        <v>1</v>
      </c>
      <c r="E49">
        <f>чек_лист[[#This Row],[Выполнение (1 или 0) ЗАПОЛНЯЕМ]]*чек_лист[[#This Row],[Баллы (0-2)]]</f>
        <v>2</v>
      </c>
    </row>
    <row r="50" spans="1:5" ht="28.8" x14ac:dyDescent="0.3">
      <c r="A50" s="1" t="s">
        <v>52</v>
      </c>
      <c r="B50" s="2" t="s">
        <v>80</v>
      </c>
      <c r="C50" s="3">
        <v>2</v>
      </c>
      <c r="D50" s="1">
        <v>1</v>
      </c>
      <c r="E50">
        <f>чек_лист[[#This Row],[Выполнение (1 или 0) ЗАПОЛНЯЕМ]]*чек_лист[[#This Row],[Баллы (0-2)]]</f>
        <v>2</v>
      </c>
    </row>
    <row r="51" spans="1:5" ht="28.8" x14ac:dyDescent="0.3">
      <c r="A51" s="1" t="s">
        <v>52</v>
      </c>
      <c r="B51" s="2" t="s">
        <v>55</v>
      </c>
      <c r="C51" s="4">
        <v>1</v>
      </c>
      <c r="D51" s="1">
        <v>1</v>
      </c>
      <c r="E51">
        <f>чек_лист[[#This Row],[Выполнение (1 или 0) ЗАПОЛНЯЕМ]]*чек_лист[[#This Row],[Баллы (0-2)]]</f>
        <v>1</v>
      </c>
    </row>
    <row r="52" spans="1:5" ht="28.8" x14ac:dyDescent="0.3">
      <c r="A52" s="1" t="s">
        <v>56</v>
      </c>
      <c r="B52" s="2" t="s">
        <v>81</v>
      </c>
      <c r="C52" s="3">
        <v>2</v>
      </c>
      <c r="D52" s="1">
        <v>1</v>
      </c>
      <c r="E52">
        <f>чек_лист[[#This Row],[Выполнение (1 или 0) ЗАПОЛНЯЕМ]]*чек_лист[[#This Row],[Баллы (0-2)]]</f>
        <v>2</v>
      </c>
    </row>
    <row r="53" spans="1:5" ht="28.8" x14ac:dyDescent="0.3">
      <c r="A53" s="1" t="s">
        <v>56</v>
      </c>
      <c r="B53" s="2" t="s">
        <v>82</v>
      </c>
      <c r="C53" s="3">
        <v>2</v>
      </c>
      <c r="D53" s="1">
        <v>1</v>
      </c>
      <c r="E53">
        <f>чек_лист[[#This Row],[Выполнение (1 или 0) ЗАПОЛНЯЕМ]]*чек_лист[[#This Row],[Баллы (0-2)]]</f>
        <v>2</v>
      </c>
    </row>
    <row r="54" spans="1:5" ht="28.8" x14ac:dyDescent="0.3">
      <c r="A54" s="1" t="s">
        <v>56</v>
      </c>
      <c r="B54" s="2" t="s">
        <v>57</v>
      </c>
      <c r="C54" s="3" t="s">
        <v>6</v>
      </c>
      <c r="D54" s="1">
        <v>1</v>
      </c>
      <c r="E54">
        <f>чек_лист[[#This Row],[Выполнение (1 или 0) ЗАПОЛНЯЕМ]]*чек_лист[[#This Row],[Баллы (0-2)]]</f>
        <v>2</v>
      </c>
    </row>
    <row r="55" spans="1:5" ht="28.8" x14ac:dyDescent="0.3">
      <c r="A55" s="1" t="s">
        <v>58</v>
      </c>
      <c r="B55" s="2" t="s">
        <v>59</v>
      </c>
      <c r="C55" s="3" t="s">
        <v>6</v>
      </c>
      <c r="D55" s="1">
        <v>1</v>
      </c>
      <c r="E55">
        <f>чек_лист[[#This Row],[Выполнение (1 или 0) ЗАПОЛНЯЕМ]]*чек_лист[[#This Row],[Баллы (0-2)]]</f>
        <v>2</v>
      </c>
    </row>
    <row r="56" spans="1:5" ht="28.8" x14ac:dyDescent="0.3">
      <c r="A56" s="1" t="s">
        <v>60</v>
      </c>
      <c r="B56" s="2" t="s">
        <v>61</v>
      </c>
      <c r="C56" s="3" t="s">
        <v>6</v>
      </c>
      <c r="D56" s="1">
        <v>1</v>
      </c>
      <c r="E56">
        <f>чек_лист[[#This Row],[Выполнение (1 или 0) ЗАПОЛНЯЕМ]]*чек_лист[[#This Row],[Баллы (0-2)]]</f>
        <v>2</v>
      </c>
    </row>
    <row r="57" spans="1:5" ht="28.8" x14ac:dyDescent="0.3">
      <c r="A57" s="1" t="s">
        <v>62</v>
      </c>
      <c r="B57" s="2" t="s">
        <v>63</v>
      </c>
      <c r="C57" s="3" t="s">
        <v>6</v>
      </c>
      <c r="D57" s="1">
        <v>1</v>
      </c>
      <c r="E57">
        <f>чек_лист[[#This Row],[Выполнение (1 или 0) ЗАПОЛНЯЕМ]]*чек_лист[[#This Row],[Баллы (0-2)]]</f>
        <v>2</v>
      </c>
    </row>
    <row r="58" spans="1:5" ht="28.8" x14ac:dyDescent="0.3">
      <c r="A58" s="1" t="s">
        <v>64</v>
      </c>
      <c r="B58" s="2" t="s">
        <v>65</v>
      </c>
      <c r="C58" s="3" t="s">
        <v>18</v>
      </c>
      <c r="D58" s="1">
        <v>1</v>
      </c>
      <c r="E58">
        <f>чек_лист[[#This Row],[Выполнение (1 или 0) ЗАПОЛНЯЕМ]]*чек_лист[[#This Row],[Баллы (0-2)]]</f>
        <v>1</v>
      </c>
    </row>
    <row r="59" spans="1:5" ht="28.8" x14ac:dyDescent="0.3">
      <c r="A59" s="1" t="s">
        <v>66</v>
      </c>
      <c r="B59" s="2" t="s">
        <v>67</v>
      </c>
      <c r="C59" s="3" t="s">
        <v>6</v>
      </c>
      <c r="D59" s="1">
        <v>1</v>
      </c>
      <c r="E59">
        <f>чек_лист[[#This Row],[Выполнение (1 или 0) ЗАПОЛНЯЕМ]]*чек_лист[[#This Row],[Баллы (0-2)]]</f>
        <v>2</v>
      </c>
    </row>
    <row r="60" spans="1:5" ht="28.8" x14ac:dyDescent="0.3">
      <c r="A60" s="1" t="s">
        <v>66</v>
      </c>
      <c r="B60" s="2" t="s">
        <v>68</v>
      </c>
      <c r="C60" s="3" t="s">
        <v>6</v>
      </c>
      <c r="D60" s="1">
        <v>1</v>
      </c>
      <c r="E60">
        <f>чек_лист[[#This Row],[Выполнение (1 или 0) ЗАПОЛНЯЕМ]]*чек_лист[[#This Row],[Баллы (0-2)]]</f>
        <v>2</v>
      </c>
    </row>
    <row r="61" spans="1:5" ht="28.8" x14ac:dyDescent="0.3">
      <c r="A61" s="1" t="s">
        <v>66</v>
      </c>
      <c r="B61" s="2" t="s">
        <v>69</v>
      </c>
      <c r="C61" s="3" t="s">
        <v>18</v>
      </c>
      <c r="D61" s="1">
        <v>1</v>
      </c>
      <c r="E61">
        <f>чек_лист[[#This Row],[Выполнение (1 или 0) ЗАПОЛНЯЕМ]]*чек_лист[[#This Row],[Баллы (0-2)]]</f>
        <v>1</v>
      </c>
    </row>
    <row r="62" spans="1:5" x14ac:dyDescent="0.3">
      <c r="A62" s="1" t="s">
        <v>70</v>
      </c>
      <c r="B62" s="2" t="s">
        <v>71</v>
      </c>
      <c r="C62" s="3">
        <v>1</v>
      </c>
      <c r="D62" s="1">
        <v>1</v>
      </c>
      <c r="E62">
        <f>чек_лист[[#This Row],[Выполнение (1 или 0) ЗАПОЛНЯЕМ]]*чек_лист[[#This Row],[Баллы (0-2)]]</f>
        <v>1</v>
      </c>
    </row>
    <row r="63" spans="1:5" x14ac:dyDescent="0.3">
      <c r="A63" s="1" t="s">
        <v>70</v>
      </c>
      <c r="B63" s="2" t="s">
        <v>72</v>
      </c>
      <c r="C63" s="3" t="s">
        <v>6</v>
      </c>
      <c r="D63" s="1">
        <v>1</v>
      </c>
      <c r="E63">
        <f>чек_лист[[#This Row],[Выполнение (1 или 0) ЗАПОЛНЯЕМ]]*чек_лист[[#This Row],[Баллы (0-2)]]</f>
        <v>2</v>
      </c>
    </row>
    <row r="64" spans="1:5" x14ac:dyDescent="0.3">
      <c r="A64" s="1" t="s">
        <v>70</v>
      </c>
      <c r="B64" s="2" t="s">
        <v>73</v>
      </c>
      <c r="C64" s="3" t="s">
        <v>6</v>
      </c>
      <c r="D64" s="1">
        <v>1</v>
      </c>
      <c r="E64">
        <f>чек_лист[[#This Row],[Выполнение (1 или 0) ЗАПОЛНЯЕМ]]*чек_лист[[#This Row],[Баллы (0-2)]]</f>
        <v>2</v>
      </c>
    </row>
    <row r="65" spans="1:5" ht="28.8" x14ac:dyDescent="0.3">
      <c r="A65" s="1" t="s">
        <v>70</v>
      </c>
      <c r="B65" s="2" t="s">
        <v>74</v>
      </c>
      <c r="C65" s="3" t="s">
        <v>18</v>
      </c>
      <c r="D65" s="1">
        <v>1</v>
      </c>
      <c r="E65">
        <f>чек_лист[[#This Row],[Выполнение (1 или 0) ЗАПОЛНЯЕМ]]*чек_лист[[#This Row],[Баллы (0-2)]]</f>
        <v>1</v>
      </c>
    </row>
    <row r="66" spans="1:5" ht="28.8" x14ac:dyDescent="0.3">
      <c r="A66" s="1" t="s">
        <v>70</v>
      </c>
      <c r="B66" s="2" t="s">
        <v>75</v>
      </c>
      <c r="C66" s="3" t="s">
        <v>18</v>
      </c>
      <c r="D66" s="1">
        <v>1</v>
      </c>
      <c r="E66">
        <f>чек_лист[[#This Row],[Выполнение (1 или 0) ЗАПОЛНЯЕМ]]*чек_лист[[#This Row],[Баллы (0-2)]]</f>
        <v>1</v>
      </c>
    </row>
    <row r="67" spans="1:5" x14ac:dyDescent="0.3">
      <c r="A67" s="1" t="s">
        <v>76</v>
      </c>
      <c r="B67" s="2" t="s">
        <v>77</v>
      </c>
      <c r="C67" s="3" t="s">
        <v>18</v>
      </c>
      <c r="D67" s="1">
        <v>0</v>
      </c>
      <c r="E67">
        <f>чек_лист[[#This Row],[Выполнение (1 или 0) ЗАПОЛНЯЕМ]]*чек_лист[[#This Row],[Баллы (0-2)]]</f>
        <v>0</v>
      </c>
    </row>
    <row r="68" spans="1:5" ht="28.8" x14ac:dyDescent="0.3">
      <c r="A68" s="1" t="s">
        <v>76</v>
      </c>
      <c r="B68" s="2" t="s">
        <v>78</v>
      </c>
      <c r="C68" s="3" t="s">
        <v>18</v>
      </c>
      <c r="D68" s="1">
        <v>0</v>
      </c>
      <c r="E68">
        <f>чек_лист[[#This Row],[Выполнение (1 или 0) ЗАПОЛНЯЕМ]]*чек_лист[[#This Row],[Баллы (0-2)]]</f>
        <v>0</v>
      </c>
    </row>
    <row r="69" spans="1:5" ht="28.8" x14ac:dyDescent="0.3">
      <c r="A69" s="1" t="s">
        <v>76</v>
      </c>
      <c r="B69" s="2" t="s">
        <v>79</v>
      </c>
      <c r="C69" s="3" t="s">
        <v>6</v>
      </c>
      <c r="D69" s="1">
        <v>0</v>
      </c>
      <c r="E69">
        <f>чек_лист[[#This Row],[Выполнение (1 или 0) ЗАПОЛНЯЕМ]]*чек_лист[[#This Row],[Баллы (0-2)]]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456C1-2095-4BDB-BA2C-94F89119F69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E992C0-F4A5-4C45-BA88-4991DEDBB3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Ищук</dc:creator>
  <cp:lastModifiedBy>Ложкин Иван</cp:lastModifiedBy>
  <dcterms:created xsi:type="dcterms:W3CDTF">2026-05-19T12:51:47Z</dcterms:created>
  <dcterms:modified xsi:type="dcterms:W3CDTF">2026-10-14T13:11:27Z</dcterms:modified>
</cp:coreProperties>
</file>